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60F2149-BE95-45D1-AB08-E89A87272D44}" xr6:coauthVersionLast="47" xr6:coauthVersionMax="47" xr10:uidLastSave="{00000000-0000-0000-0000-000000000000}"/>
  <bookViews>
    <workbookView xWindow="-110" yWindow="-110" windowWidth="19420" windowHeight="10420" xr2:uid="{AA4EB6A7-D4F0-4923-BBB9-B062522ACE3B}"/>
  </bookViews>
  <sheets>
    <sheet name="Purchase record" sheetId="1" r:id="rId1"/>
    <sheet name="Sales Record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2" l="1"/>
  <c r="H25" i="2"/>
  <c r="I25" i="2"/>
  <c r="J25" i="2"/>
  <c r="K25" i="2"/>
  <c r="L25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25" i="2" s="1"/>
  <c r="F21" i="1"/>
  <c r="G7" i="1"/>
  <c r="G8" i="1"/>
  <c r="H8" i="1" s="1"/>
  <c r="G9" i="1"/>
  <c r="H9" i="1" s="1"/>
  <c r="G10" i="1"/>
  <c r="H10" i="1" s="1"/>
  <c r="G11" i="1"/>
  <c r="H11" i="1" s="1"/>
  <c r="J11" i="1" s="1"/>
  <c r="K11" i="1" s="1"/>
  <c r="G12" i="1"/>
  <c r="H12" i="1" s="1"/>
  <c r="G13" i="1"/>
  <c r="H13" i="1" s="1"/>
  <c r="G14" i="1"/>
  <c r="H14" i="1" s="1"/>
  <c r="G15" i="1"/>
  <c r="G16" i="1"/>
  <c r="H16" i="1" s="1"/>
  <c r="G17" i="1"/>
  <c r="H17" i="1" s="1"/>
  <c r="G18" i="1"/>
  <c r="H18" i="1" s="1"/>
  <c r="G19" i="1"/>
  <c r="H19" i="1" s="1"/>
  <c r="J19" i="1" s="1"/>
  <c r="K19" i="1" s="1"/>
  <c r="G20" i="1"/>
  <c r="H20" i="1" s="1"/>
  <c r="E21" i="1"/>
  <c r="I20" i="1"/>
  <c r="I19" i="1"/>
  <c r="I18" i="1"/>
  <c r="I17" i="1"/>
  <c r="I16" i="1"/>
  <c r="I15" i="1"/>
  <c r="H15" i="1"/>
  <c r="J15" i="1" s="1"/>
  <c r="K15" i="1" s="1"/>
  <c r="I14" i="1"/>
  <c r="I13" i="1"/>
  <c r="I12" i="1"/>
  <c r="I11" i="1"/>
  <c r="I10" i="1"/>
  <c r="I9" i="1"/>
  <c r="I8" i="1"/>
  <c r="I7" i="1"/>
  <c r="H7" i="1"/>
  <c r="J7" i="1" s="1"/>
  <c r="K7" i="1" s="1"/>
  <c r="I6" i="1"/>
  <c r="I21" i="1" s="1"/>
  <c r="G6" i="1"/>
  <c r="G21" i="1" s="1"/>
  <c r="J13" i="2" l="1"/>
  <c r="I13" i="2"/>
  <c r="K13" i="2" s="1"/>
  <c r="L13" i="2" s="1"/>
  <c r="J21" i="2"/>
  <c r="I21" i="2"/>
  <c r="J14" i="2"/>
  <c r="I14" i="2"/>
  <c r="K14" i="2" s="1"/>
  <c r="L14" i="2" s="1"/>
  <c r="J22" i="2"/>
  <c r="I22" i="2"/>
  <c r="K22" i="2" s="1"/>
  <c r="L22" i="2" s="1"/>
  <c r="J11" i="2"/>
  <c r="I11" i="2"/>
  <c r="I15" i="2"/>
  <c r="J15" i="2"/>
  <c r="J19" i="2"/>
  <c r="I19" i="2"/>
  <c r="I23" i="2"/>
  <c r="J23" i="2"/>
  <c r="K23" i="2" s="1"/>
  <c r="L23" i="2" s="1"/>
  <c r="J17" i="2"/>
  <c r="I17" i="2"/>
  <c r="K17" i="2" s="1"/>
  <c r="L17" i="2" s="1"/>
  <c r="J18" i="2"/>
  <c r="I18" i="2"/>
  <c r="J12" i="2"/>
  <c r="I12" i="2"/>
  <c r="K12" i="2" s="1"/>
  <c r="L12" i="2" s="1"/>
  <c r="J16" i="2"/>
  <c r="I16" i="2"/>
  <c r="K16" i="2" s="1"/>
  <c r="L16" i="2" s="1"/>
  <c r="J20" i="2"/>
  <c r="I20" i="2"/>
  <c r="K20" i="2" s="1"/>
  <c r="L20" i="2" s="1"/>
  <c r="J24" i="2"/>
  <c r="I24" i="2"/>
  <c r="K24" i="2" s="1"/>
  <c r="L24" i="2" s="1"/>
  <c r="H10" i="2"/>
  <c r="J18" i="1"/>
  <c r="K18" i="1" s="1"/>
  <c r="J14" i="1"/>
  <c r="K14" i="1" s="1"/>
  <c r="J10" i="1"/>
  <c r="K10" i="1" s="1"/>
  <c r="J17" i="1"/>
  <c r="K17" i="1" s="1"/>
  <c r="J13" i="1"/>
  <c r="K13" i="1" s="1"/>
  <c r="J9" i="1"/>
  <c r="K9" i="1" s="1"/>
  <c r="H6" i="1"/>
  <c r="J8" i="1"/>
  <c r="K8" i="1" s="1"/>
  <c r="J12" i="1"/>
  <c r="K12" i="1" s="1"/>
  <c r="J16" i="1"/>
  <c r="K16" i="1" s="1"/>
  <c r="J20" i="1"/>
  <c r="K20" i="1" s="1"/>
  <c r="K21" i="2" l="1"/>
  <c r="L21" i="2" s="1"/>
  <c r="K19" i="2"/>
  <c r="L19" i="2" s="1"/>
  <c r="K18" i="2"/>
  <c r="L18" i="2" s="1"/>
  <c r="K15" i="2"/>
  <c r="L15" i="2" s="1"/>
  <c r="K11" i="2"/>
  <c r="L11" i="2" s="1"/>
  <c r="J10" i="2"/>
  <c r="I10" i="2"/>
  <c r="K10" i="2" s="1"/>
  <c r="L10" i="2" s="1"/>
  <c r="J6" i="1"/>
  <c r="H21" i="1"/>
  <c r="K6" i="1" l="1"/>
  <c r="K21" i="1" s="1"/>
  <c r="J21" i="1"/>
</calcChain>
</file>

<file path=xl/sharedStrings.xml><?xml version="1.0" encoding="utf-8"?>
<sst xmlns="http://schemas.openxmlformats.org/spreadsheetml/2006/main" count="54" uniqueCount="36">
  <si>
    <t>Sr No.</t>
  </si>
  <si>
    <t>Product 
Name</t>
  </si>
  <si>
    <t>Purchase Price
Per Unit</t>
  </si>
  <si>
    <t>Unit
Purchase</t>
  </si>
  <si>
    <t>Gross 
Expense</t>
  </si>
  <si>
    <t>Carriage Expense</t>
  </si>
  <si>
    <t>Loading/Unloading
Expense</t>
  </si>
  <si>
    <t>Total 
 Expense</t>
  </si>
  <si>
    <t xml:space="preserve">Actual Purchse 
Price Per Unit </t>
  </si>
  <si>
    <t>Cooking Oil</t>
  </si>
  <si>
    <t>Sugar</t>
  </si>
  <si>
    <t>Flour</t>
  </si>
  <si>
    <t>Rice</t>
  </si>
  <si>
    <t>Soap</t>
  </si>
  <si>
    <t>Milk</t>
  </si>
  <si>
    <t>Cold Drink</t>
  </si>
  <si>
    <t>Juice</t>
  </si>
  <si>
    <t>Water Bottles</t>
  </si>
  <si>
    <t>Buiscuits</t>
  </si>
  <si>
    <t>Shampoo</t>
  </si>
  <si>
    <t>Dall</t>
  </si>
  <si>
    <t>Beans</t>
  </si>
  <si>
    <t>Detergent</t>
  </si>
  <si>
    <t>Tea</t>
  </si>
  <si>
    <t>TOTAL</t>
  </si>
  <si>
    <t>Nil</t>
  </si>
  <si>
    <t>Sales Price Per Unit</t>
  </si>
  <si>
    <t>Unit
Sales</t>
  </si>
  <si>
    <t>Gross 
Sales</t>
  </si>
  <si>
    <t>Mart 
Rent</t>
  </si>
  <si>
    <t>Electricity Bills</t>
  </si>
  <si>
    <t>Total sales</t>
  </si>
  <si>
    <t>Profit / Loss</t>
  </si>
  <si>
    <t>Total</t>
  </si>
  <si>
    <t>PuRCHASE EXPENSE SHEET</t>
  </si>
  <si>
    <t>SALES EXPENSE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</si>
</sst>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E+00"/>
  </numFmts>
  <fonts count="13">
    <font>
      <sz val="11"/>
      <color theme="1"/>
      <name val="Calibri"/>
      <family val="2"/>
      <scheme val="minor"/>
    </font>
    <font>
      <sz val="14"/>
      <color theme="2"/>
      <name val="Algerian"/>
      <family val="5"/>
    </font>
    <font>
      <b/>
      <sz val="12"/>
      <color theme="2"/>
      <name val="Arial Unicode MS"/>
      <family val="2"/>
    </font>
    <font>
      <b/>
      <sz val="10"/>
      <color theme="2"/>
      <name val="Arial Unicode MS"/>
      <family val="2"/>
    </font>
    <font>
      <sz val="11"/>
      <color theme="2"/>
      <name val="Arial"/>
      <family val="2"/>
    </font>
    <font>
      <b/>
      <sz val="12"/>
      <color theme="1"/>
      <name val="Arial Unicode MS"/>
      <family val="2"/>
    </font>
    <font>
      <sz val="11"/>
      <color theme="1"/>
      <name val="Calibri Light"/>
      <family val="1"/>
      <scheme val="major"/>
    </font>
    <font>
      <b/>
      <sz val="11"/>
      <name val="Arial Unicode MS"/>
      <family val="2"/>
    </font>
    <font>
      <sz val="11"/>
      <name val="Calibri"/>
      <family val="2"/>
      <scheme val="minor"/>
    </font>
    <font>
      <b/>
      <sz val="11"/>
      <color theme="2"/>
      <name val="Arial"/>
      <family val="2"/>
    </font>
    <font>
      <b/>
      <sz val="12"/>
      <color theme="1"/>
      <name val="Calibri Light"/>
      <family val="1"/>
      <scheme val="major"/>
    </font>
    <font>
      <b/>
      <sz val="12"/>
      <color theme="1"/>
      <name val="Calibri"/>
      <family val="2"/>
      <scheme val="minor"/>
    </font>
    <font>
      <sz val="16"/>
      <color theme="2"/>
      <name val="Algerian"/>
      <family val="5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0" borderId="0" xfId="0" applyFont="1"/>
    <xf numFmtId="0" fontId="5" fillId="4" borderId="7" xfId="0" applyFont="1" applyFill="1" applyBorder="1"/>
    <xf numFmtId="0" fontId="6" fillId="4" borderId="7" xfId="0" applyFont="1" applyFill="1" applyBorder="1"/>
    <xf numFmtId="0" fontId="6" fillId="4" borderId="8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7" fillId="4" borderId="7" xfId="0" applyFont="1" applyFill="1" applyBorder="1" applyAlignment="1">
      <alignment horizontal="right"/>
    </xf>
    <xf numFmtId="0" fontId="8" fillId="4" borderId="7" xfId="0" applyFont="1" applyFill="1" applyBorder="1"/>
    <xf numFmtId="0" fontId="8" fillId="0" borderId="0" xfId="0" applyFont="1"/>
    <xf numFmtId="0" fontId="9" fillId="3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10" fillId="5" borderId="7" xfId="0" applyFont="1" applyFill="1" applyBorder="1"/>
    <xf numFmtId="1" fontId="6" fillId="4" borderId="7" xfId="0" applyNumberFormat="1" applyFont="1" applyFill="1" applyBorder="1"/>
    <xf numFmtId="0" fontId="11" fillId="5" borderId="7" xfId="0" applyFont="1" applyFill="1" applyBorder="1"/>
    <xf numFmtId="0" fontId="11" fillId="6" borderId="7" xfId="0" applyFont="1" applyFill="1" applyBorder="1" applyAlignment="1">
      <alignment horizontal="right"/>
    </xf>
    <xf numFmtId="0" fontId="11" fillId="6" borderId="7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5" fontId="11" fillId="6" borderId="7" xfId="0" applyNumberFormat="1" applyFont="1" applyFill="1" applyBorder="1"/>
    <xf numFmtId="0" fontId="1" fillId="0" borderId="0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alha%20world\Talha%20Files\Excel\talha%20excel.xlsx" TargetMode="External"/><Relationship Id="rId1" Type="http://schemas.openxmlformats.org/officeDocument/2006/relationships/externalLinkPath" Target="file:///E:\Talha%20world\Talha%20Files\Excel\talha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 Card"/>
      <sheetName val="Salary Sheet"/>
      <sheetName val="Purchase Record"/>
      <sheetName val="Sales Record"/>
      <sheetName val="Sheet1"/>
      <sheetName val="Accessories Purchase Sheet"/>
    </sheetNames>
    <sheetDataSet>
      <sheetData sheetId="0"/>
      <sheetData sheetId="1"/>
      <sheetData sheetId="2">
        <row r="8">
          <cell r="E8">
            <v>3500</v>
          </cell>
          <cell r="J8">
            <v>772000</v>
          </cell>
        </row>
        <row r="9">
          <cell r="E9">
            <v>7000</v>
          </cell>
          <cell r="J9">
            <v>2313000</v>
          </cell>
        </row>
        <row r="10">
          <cell r="E10">
            <v>1800</v>
          </cell>
          <cell r="J10">
            <v>995000</v>
          </cell>
        </row>
        <row r="11">
          <cell r="E11">
            <v>7000</v>
          </cell>
          <cell r="J11">
            <v>771000</v>
          </cell>
        </row>
        <row r="12">
          <cell r="E12">
            <v>500</v>
          </cell>
          <cell r="J12">
            <v>140000</v>
          </cell>
        </row>
        <row r="13">
          <cell r="E13">
            <v>500</v>
          </cell>
          <cell r="J13">
            <v>140000</v>
          </cell>
        </row>
        <row r="14">
          <cell r="E14">
            <v>2500</v>
          </cell>
          <cell r="J14">
            <v>828000</v>
          </cell>
        </row>
        <row r="15">
          <cell r="E15">
            <v>1000</v>
          </cell>
          <cell r="J15">
            <v>555000</v>
          </cell>
        </row>
        <row r="16">
          <cell r="E16">
            <v>750</v>
          </cell>
          <cell r="J16">
            <v>417500</v>
          </cell>
        </row>
        <row r="17">
          <cell r="E17">
            <v>3000</v>
          </cell>
          <cell r="J17">
            <v>165500</v>
          </cell>
        </row>
        <row r="18">
          <cell r="E18">
            <v>4500</v>
          </cell>
          <cell r="J18">
            <v>124000</v>
          </cell>
        </row>
        <row r="19">
          <cell r="E19">
            <v>8000</v>
          </cell>
          <cell r="J19">
            <v>220250</v>
          </cell>
        </row>
        <row r="20">
          <cell r="E20">
            <v>7000</v>
          </cell>
          <cell r="J20">
            <v>192750</v>
          </cell>
        </row>
        <row r="21">
          <cell r="E21">
            <v>600</v>
          </cell>
          <cell r="J21">
            <v>301500</v>
          </cell>
        </row>
        <row r="22">
          <cell r="E22">
            <v>1500</v>
          </cell>
          <cell r="J22">
            <v>830000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A6B6-67F6-4B70-803F-2AB1D9E420FA}">
  <sheetPr>
    <pageSetUpPr fitToPage="1"/>
  </sheetPr>
  <dimension ref="C2:O23"/>
  <sheetViews>
    <sheetView tabSelected="1" workbookViewId="0">
      <selection activeCell="M7" sqref="M7"/>
    </sheetView>
  </sheetViews>
  <sheetFormatPr defaultRowHeight="14.5"/>
  <cols>
    <col min="4" max="4" width="11.90625" bestFit="1" customWidth="1"/>
    <col min="5" max="5" width="9" customWidth="1"/>
    <col min="6" max="6" width="9.90625" customWidth="1"/>
    <col min="7" max="7" width="9.08984375" customWidth="1"/>
    <col min="9" max="9" width="12.1796875" bestFit="1" customWidth="1"/>
  </cols>
  <sheetData>
    <row r="2" spans="3:15" ht="14.5" customHeight="1">
      <c r="C2" s="27" t="s">
        <v>34</v>
      </c>
      <c r="D2" s="20"/>
      <c r="E2" s="20"/>
      <c r="F2" s="20"/>
      <c r="G2" s="20"/>
      <c r="H2" s="20"/>
      <c r="I2" s="20"/>
      <c r="J2" s="20"/>
      <c r="K2" s="21"/>
      <c r="L2" s="26"/>
      <c r="M2" s="26"/>
      <c r="N2" s="26"/>
      <c r="O2" s="26"/>
    </row>
    <row r="3" spans="3:15" ht="14.5" customHeight="1">
      <c r="C3" s="22"/>
      <c r="D3" s="23"/>
      <c r="E3" s="23"/>
      <c r="F3" s="23"/>
      <c r="G3" s="23"/>
      <c r="H3" s="23"/>
      <c r="I3" s="23"/>
      <c r="J3" s="23"/>
      <c r="K3" s="24"/>
      <c r="L3" s="26"/>
      <c r="M3" s="26"/>
      <c r="N3" s="26"/>
      <c r="O3" s="26"/>
    </row>
    <row r="5" spans="3:15" ht="52">
      <c r="C5" s="1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3" t="s">
        <v>8</v>
      </c>
      <c r="L5" s="4"/>
      <c r="M5" s="4"/>
      <c r="N5" s="4"/>
      <c r="O5" s="4"/>
    </row>
    <row r="6" spans="3:15" ht="15.5">
      <c r="C6" s="5">
        <v>1</v>
      </c>
      <c r="D6" s="6" t="s">
        <v>9</v>
      </c>
      <c r="E6" s="6">
        <v>3500</v>
      </c>
      <c r="F6" s="6">
        <v>200</v>
      </c>
      <c r="G6" s="6">
        <f>E6*F6</f>
        <v>700000</v>
      </c>
      <c r="H6" s="6">
        <f>G6*10%</f>
        <v>70000</v>
      </c>
      <c r="I6" s="6">
        <f>F6*10</f>
        <v>2000</v>
      </c>
      <c r="J6" s="6">
        <f>SUM(G6:I6)</f>
        <v>772000</v>
      </c>
      <c r="K6" s="7">
        <f>J6/F6</f>
        <v>3860</v>
      </c>
    </row>
    <row r="7" spans="3:15" ht="15.5">
      <c r="C7" s="5">
        <v>2</v>
      </c>
      <c r="D7" s="6" t="s">
        <v>10</v>
      </c>
      <c r="E7" s="6">
        <v>7000</v>
      </c>
      <c r="F7" s="6">
        <v>300</v>
      </c>
      <c r="G7" s="6">
        <f t="shared" ref="G7:G20" si="0">E7*F7</f>
        <v>2100000</v>
      </c>
      <c r="H7" s="6">
        <f t="shared" ref="H7:H20" si="1">G7*10%</f>
        <v>210000</v>
      </c>
      <c r="I7" s="6">
        <f t="shared" ref="I7:I20" si="2">F7*10</f>
        <v>3000</v>
      </c>
      <c r="J7" s="6">
        <f t="shared" ref="J7:J19" si="3">SUM(G7:I7)</f>
        <v>2313000</v>
      </c>
      <c r="K7" s="7">
        <f t="shared" ref="K7:K19" si="4">J7/F7</f>
        <v>7710</v>
      </c>
    </row>
    <row r="8" spans="3:15" ht="15.5">
      <c r="C8" s="5">
        <v>3</v>
      </c>
      <c r="D8" s="6" t="s">
        <v>11</v>
      </c>
      <c r="E8" s="6">
        <v>1800</v>
      </c>
      <c r="F8" s="6">
        <v>500</v>
      </c>
      <c r="G8" s="6">
        <f t="shared" si="0"/>
        <v>900000</v>
      </c>
      <c r="H8" s="6">
        <f t="shared" si="1"/>
        <v>90000</v>
      </c>
      <c r="I8" s="6">
        <f t="shared" si="2"/>
        <v>5000</v>
      </c>
      <c r="J8" s="6">
        <f t="shared" si="3"/>
        <v>995000</v>
      </c>
      <c r="K8" s="7">
        <f t="shared" si="4"/>
        <v>1990</v>
      </c>
    </row>
    <row r="9" spans="3:15" ht="15.5">
      <c r="C9" s="5">
        <v>4</v>
      </c>
      <c r="D9" s="6" t="s">
        <v>12</v>
      </c>
      <c r="E9" s="6">
        <v>7000</v>
      </c>
      <c r="F9" s="6">
        <v>100</v>
      </c>
      <c r="G9" s="6">
        <f t="shared" si="0"/>
        <v>700000</v>
      </c>
      <c r="H9" s="6">
        <f t="shared" si="1"/>
        <v>70000</v>
      </c>
      <c r="I9" s="6">
        <f t="shared" si="2"/>
        <v>1000</v>
      </c>
      <c r="J9" s="6">
        <f t="shared" si="3"/>
        <v>771000</v>
      </c>
      <c r="K9" s="7">
        <f t="shared" si="4"/>
        <v>7710</v>
      </c>
    </row>
    <row r="10" spans="3:15" ht="15.5">
      <c r="C10" s="5">
        <v>5</v>
      </c>
      <c r="D10" s="6" t="s">
        <v>13</v>
      </c>
      <c r="E10" s="6">
        <v>500</v>
      </c>
      <c r="F10" s="6">
        <v>250</v>
      </c>
      <c r="G10" s="6">
        <f t="shared" si="0"/>
        <v>125000</v>
      </c>
      <c r="H10" s="6">
        <f t="shared" si="1"/>
        <v>12500</v>
      </c>
      <c r="I10" s="6">
        <f t="shared" si="2"/>
        <v>2500</v>
      </c>
      <c r="J10" s="6">
        <f t="shared" si="3"/>
        <v>140000</v>
      </c>
      <c r="K10" s="7">
        <f t="shared" si="4"/>
        <v>560</v>
      </c>
    </row>
    <row r="11" spans="3:15" ht="15.5">
      <c r="C11" s="5">
        <v>6</v>
      </c>
      <c r="D11" s="6" t="s">
        <v>14</v>
      </c>
      <c r="E11" s="6">
        <v>500</v>
      </c>
      <c r="F11" s="6">
        <v>250</v>
      </c>
      <c r="G11" s="6">
        <f t="shared" si="0"/>
        <v>125000</v>
      </c>
      <c r="H11" s="6">
        <f t="shared" si="1"/>
        <v>12500</v>
      </c>
      <c r="I11" s="6">
        <f t="shared" si="2"/>
        <v>2500</v>
      </c>
      <c r="J11" s="6">
        <f t="shared" si="3"/>
        <v>140000</v>
      </c>
      <c r="K11" s="7">
        <f t="shared" si="4"/>
        <v>560</v>
      </c>
    </row>
    <row r="12" spans="3:15" ht="15.5">
      <c r="C12" s="5">
        <v>7</v>
      </c>
      <c r="D12" s="6" t="s">
        <v>15</v>
      </c>
      <c r="E12" s="6">
        <v>2500</v>
      </c>
      <c r="F12" s="6">
        <v>300</v>
      </c>
      <c r="G12" s="6">
        <f t="shared" si="0"/>
        <v>750000</v>
      </c>
      <c r="H12" s="6">
        <f t="shared" si="1"/>
        <v>75000</v>
      </c>
      <c r="I12" s="6">
        <f t="shared" si="2"/>
        <v>3000</v>
      </c>
      <c r="J12" s="6">
        <f t="shared" si="3"/>
        <v>828000</v>
      </c>
      <c r="K12" s="7">
        <f t="shared" si="4"/>
        <v>2760</v>
      </c>
    </row>
    <row r="13" spans="3:15" ht="15.5">
      <c r="C13" s="5">
        <v>8</v>
      </c>
      <c r="D13" s="6" t="s">
        <v>16</v>
      </c>
      <c r="E13" s="6">
        <v>1000</v>
      </c>
      <c r="F13" s="6">
        <v>500</v>
      </c>
      <c r="G13" s="6">
        <f t="shared" si="0"/>
        <v>500000</v>
      </c>
      <c r="H13" s="6">
        <f t="shared" si="1"/>
        <v>50000</v>
      </c>
      <c r="I13" s="6">
        <f t="shared" si="2"/>
        <v>5000</v>
      </c>
      <c r="J13" s="6">
        <f t="shared" si="3"/>
        <v>555000</v>
      </c>
      <c r="K13" s="7">
        <f t="shared" si="4"/>
        <v>1110</v>
      </c>
    </row>
    <row r="14" spans="3:15" ht="15.5">
      <c r="C14" s="5">
        <v>9</v>
      </c>
      <c r="D14" s="6" t="s">
        <v>17</v>
      </c>
      <c r="E14" s="6">
        <v>750</v>
      </c>
      <c r="F14" s="6">
        <v>500</v>
      </c>
      <c r="G14" s="6">
        <f t="shared" si="0"/>
        <v>375000</v>
      </c>
      <c r="H14" s="6">
        <f t="shared" si="1"/>
        <v>37500</v>
      </c>
      <c r="I14" s="6">
        <f t="shared" si="2"/>
        <v>5000</v>
      </c>
      <c r="J14" s="6">
        <f t="shared" si="3"/>
        <v>417500</v>
      </c>
      <c r="K14" s="7">
        <f t="shared" si="4"/>
        <v>835</v>
      </c>
    </row>
    <row r="15" spans="3:15" ht="15.5">
      <c r="C15" s="5">
        <v>10</v>
      </c>
      <c r="D15" s="6" t="s">
        <v>18</v>
      </c>
      <c r="E15" s="6">
        <v>3000</v>
      </c>
      <c r="F15" s="6">
        <v>50</v>
      </c>
      <c r="G15" s="6">
        <f t="shared" si="0"/>
        <v>150000</v>
      </c>
      <c r="H15" s="6">
        <f t="shared" si="1"/>
        <v>15000</v>
      </c>
      <c r="I15" s="6">
        <f t="shared" si="2"/>
        <v>500</v>
      </c>
      <c r="J15" s="6">
        <f t="shared" si="3"/>
        <v>165500</v>
      </c>
      <c r="K15" s="7">
        <f t="shared" si="4"/>
        <v>3310</v>
      </c>
    </row>
    <row r="16" spans="3:15" ht="15.5">
      <c r="C16" s="5">
        <v>11</v>
      </c>
      <c r="D16" s="6" t="s">
        <v>19</v>
      </c>
      <c r="E16" s="6">
        <v>4500</v>
      </c>
      <c r="F16" s="6">
        <v>25</v>
      </c>
      <c r="G16" s="6">
        <f t="shared" si="0"/>
        <v>112500</v>
      </c>
      <c r="H16" s="6">
        <f t="shared" si="1"/>
        <v>11250</v>
      </c>
      <c r="I16" s="6">
        <f t="shared" si="2"/>
        <v>250</v>
      </c>
      <c r="J16" s="6">
        <f t="shared" si="3"/>
        <v>124000</v>
      </c>
      <c r="K16" s="7">
        <f t="shared" si="4"/>
        <v>4960</v>
      </c>
    </row>
    <row r="17" spans="3:15" ht="15.5">
      <c r="C17" s="5">
        <v>12</v>
      </c>
      <c r="D17" s="6" t="s">
        <v>20</v>
      </c>
      <c r="E17" s="6">
        <v>8000</v>
      </c>
      <c r="F17" s="6">
        <v>25</v>
      </c>
      <c r="G17" s="6">
        <f t="shared" si="0"/>
        <v>200000</v>
      </c>
      <c r="H17" s="6">
        <f t="shared" si="1"/>
        <v>20000</v>
      </c>
      <c r="I17" s="6">
        <f t="shared" si="2"/>
        <v>250</v>
      </c>
      <c r="J17" s="6">
        <f t="shared" si="3"/>
        <v>220250</v>
      </c>
      <c r="K17" s="7">
        <f t="shared" si="4"/>
        <v>8810</v>
      </c>
    </row>
    <row r="18" spans="3:15" ht="15.5">
      <c r="C18" s="5">
        <v>13</v>
      </c>
      <c r="D18" s="6" t="s">
        <v>21</v>
      </c>
      <c r="E18" s="6">
        <v>7000</v>
      </c>
      <c r="F18" s="6">
        <v>25</v>
      </c>
      <c r="G18" s="6">
        <f t="shared" si="0"/>
        <v>175000</v>
      </c>
      <c r="H18" s="6">
        <f t="shared" si="1"/>
        <v>17500</v>
      </c>
      <c r="I18" s="6">
        <f t="shared" si="2"/>
        <v>250</v>
      </c>
      <c r="J18" s="6">
        <f t="shared" si="3"/>
        <v>192750</v>
      </c>
      <c r="K18" s="7">
        <f t="shared" si="4"/>
        <v>7710</v>
      </c>
    </row>
    <row r="19" spans="3:15" ht="15.5">
      <c r="C19" s="5">
        <v>14</v>
      </c>
      <c r="D19" s="8" t="s">
        <v>22</v>
      </c>
      <c r="E19" s="8">
        <v>600</v>
      </c>
      <c r="F19" s="8">
        <v>450</v>
      </c>
      <c r="G19" s="6">
        <f t="shared" si="0"/>
        <v>270000</v>
      </c>
      <c r="H19" s="8">
        <f t="shared" si="1"/>
        <v>27000</v>
      </c>
      <c r="I19" s="8">
        <f t="shared" si="2"/>
        <v>4500</v>
      </c>
      <c r="J19" s="8">
        <f t="shared" si="3"/>
        <v>301500</v>
      </c>
      <c r="K19" s="9">
        <f t="shared" si="4"/>
        <v>670</v>
      </c>
    </row>
    <row r="20" spans="3:15" ht="15.5">
      <c r="C20" s="5">
        <v>15</v>
      </c>
      <c r="D20" s="8" t="s">
        <v>23</v>
      </c>
      <c r="E20" s="8">
        <v>1500</v>
      </c>
      <c r="F20" s="8">
        <v>500</v>
      </c>
      <c r="G20" s="6">
        <f t="shared" si="0"/>
        <v>750000</v>
      </c>
      <c r="H20" s="8">
        <f t="shared" si="1"/>
        <v>75000</v>
      </c>
      <c r="I20" s="8">
        <f t="shared" si="2"/>
        <v>5000</v>
      </c>
      <c r="J20" s="8">
        <f>SUM(G20:I20)</f>
        <v>830000</v>
      </c>
      <c r="K20" s="9">
        <f>J20/F20</f>
        <v>1660</v>
      </c>
    </row>
    <row r="21" spans="3:15">
      <c r="C21" s="10" t="s">
        <v>24</v>
      </c>
      <c r="D21" s="11" t="s">
        <v>25</v>
      </c>
      <c r="E21" s="11">
        <f>SUM(E6:E20)</f>
        <v>49150</v>
      </c>
      <c r="F21" s="11">
        <f t="shared" ref="F21:K21" si="5">SUM(F6:F20)</f>
        <v>3975</v>
      </c>
      <c r="G21" s="11">
        <f t="shared" si="5"/>
        <v>7932500</v>
      </c>
      <c r="H21" s="11">
        <f t="shared" si="5"/>
        <v>793250</v>
      </c>
      <c r="I21" s="11">
        <f t="shared" si="5"/>
        <v>39750</v>
      </c>
      <c r="J21" s="11">
        <f t="shared" si="5"/>
        <v>8765500</v>
      </c>
      <c r="K21" s="11">
        <f t="shared" si="5"/>
        <v>54215</v>
      </c>
      <c r="L21" s="12"/>
      <c r="M21" s="12"/>
      <c r="N21" s="12"/>
      <c r="O21" s="12"/>
    </row>
    <row r="23" spans="3:15">
      <c r="L23" s="12"/>
      <c r="M23" s="12"/>
      <c r="N23" s="12"/>
      <c r="O23" s="12"/>
    </row>
  </sheetData>
  <mergeCells count="1">
    <mergeCell ref="C2:K3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C3A8-F81C-46F6-B4F8-E2BF204A314E}">
  <sheetPr>
    <pageSetUpPr fitToPage="1"/>
  </sheetPr>
  <dimension ref="D5:P25"/>
  <sheetViews>
    <sheetView topLeftCell="A10" zoomScale="104" zoomScaleNormal="104" workbookViewId="0">
      <selection activeCell="Q9" sqref="Q9"/>
    </sheetView>
  </sheetViews>
  <sheetFormatPr defaultRowHeight="14.5"/>
  <cols>
    <col min="5" max="5" width="12" bestFit="1" customWidth="1"/>
    <col min="11" max="11" width="9.36328125" bestFit="1" customWidth="1"/>
  </cols>
  <sheetData>
    <row r="5" spans="4:16" ht="14.5" customHeight="1"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4:16" ht="14.5" customHeight="1">
      <c r="D6" s="28" t="s">
        <v>35</v>
      </c>
      <c r="E6" s="28"/>
      <c r="F6" s="28"/>
      <c r="G6" s="28"/>
      <c r="H6" s="28"/>
      <c r="I6" s="28"/>
      <c r="J6" s="28"/>
      <c r="K6" s="28"/>
      <c r="L6" s="28"/>
      <c r="M6" s="26"/>
      <c r="N6" s="26"/>
      <c r="O6" s="26"/>
      <c r="P6" s="26"/>
    </row>
    <row r="7" spans="4:16" ht="21" customHeight="1">
      <c r="D7" s="28"/>
      <c r="E7" s="28"/>
      <c r="F7" s="28"/>
      <c r="G7" s="28"/>
      <c r="H7" s="28"/>
      <c r="I7" s="28"/>
      <c r="J7" s="28"/>
      <c r="K7" s="28"/>
      <c r="L7" s="28"/>
    </row>
    <row r="9" spans="4:16" ht="42">
      <c r="D9" s="13" t="s">
        <v>0</v>
      </c>
      <c r="E9" s="14" t="s">
        <v>1</v>
      </c>
      <c r="F9" s="14" t="s">
        <v>26</v>
      </c>
      <c r="G9" s="14" t="s">
        <v>27</v>
      </c>
      <c r="H9" s="14" t="s">
        <v>28</v>
      </c>
      <c r="I9" s="14" t="s">
        <v>29</v>
      </c>
      <c r="J9" s="14" t="s">
        <v>30</v>
      </c>
      <c r="K9" s="14" t="s">
        <v>31</v>
      </c>
      <c r="L9" s="14" t="s">
        <v>32</v>
      </c>
    </row>
    <row r="10" spans="4:16" ht="15.5">
      <c r="D10" s="15">
        <v>1</v>
      </c>
      <c r="E10" s="6" t="s">
        <v>9</v>
      </c>
      <c r="F10" s="6">
        <f>'[1]Purchase Record'!E8+'[1]Purchase Record'!E8*70%</f>
        <v>5950</v>
      </c>
      <c r="G10" s="6">
        <v>200</v>
      </c>
      <c r="H10" s="6">
        <f>F10*G10</f>
        <v>1190000</v>
      </c>
      <c r="I10" s="6">
        <f>H10*10%</f>
        <v>119000</v>
      </c>
      <c r="J10" s="6">
        <f>H10*3%</f>
        <v>35700</v>
      </c>
      <c r="K10" s="6">
        <f>H10-I10-J10</f>
        <v>1035300</v>
      </c>
      <c r="L10" s="16">
        <f>K10-'[1]Purchase Record'!J8</f>
        <v>263300</v>
      </c>
    </row>
    <row r="11" spans="4:16" ht="15.5">
      <c r="D11" s="15">
        <v>2</v>
      </c>
      <c r="E11" s="6" t="s">
        <v>10</v>
      </c>
      <c r="F11" s="6">
        <f>'[1]Purchase Record'!E9+'[1]Purchase Record'!E9*70%</f>
        <v>11900</v>
      </c>
      <c r="G11" s="6">
        <v>300</v>
      </c>
      <c r="H11" s="6">
        <f t="shared" ref="H11:H24" si="0">F11*G11</f>
        <v>3570000</v>
      </c>
      <c r="I11" s="6">
        <f t="shared" ref="I11:I25" si="1">H11*10%</f>
        <v>357000</v>
      </c>
      <c r="J11" s="6">
        <f t="shared" ref="J11:J25" si="2">H11*3%</f>
        <v>107100</v>
      </c>
      <c r="K11" s="6">
        <f t="shared" ref="K11:K25" si="3">H11-I11-J11</f>
        <v>3105900</v>
      </c>
      <c r="L11" s="16">
        <f>K11-'[1]Purchase Record'!J9</f>
        <v>792900</v>
      </c>
    </row>
    <row r="12" spans="4:16" ht="15.5">
      <c r="D12" s="15">
        <v>3</v>
      </c>
      <c r="E12" s="6" t="s">
        <v>11</v>
      </c>
      <c r="F12" s="6">
        <f>'[1]Purchase Record'!E10+'[1]Purchase Record'!E10*70%</f>
        <v>3060</v>
      </c>
      <c r="G12" s="6">
        <v>500</v>
      </c>
      <c r="H12" s="6">
        <f t="shared" si="0"/>
        <v>1530000</v>
      </c>
      <c r="I12" s="6">
        <f t="shared" si="1"/>
        <v>153000</v>
      </c>
      <c r="J12" s="6">
        <f t="shared" si="2"/>
        <v>45900</v>
      </c>
      <c r="K12" s="6">
        <f t="shared" si="3"/>
        <v>1331100</v>
      </c>
      <c r="L12" s="16">
        <f>K12-'[1]Purchase Record'!J10</f>
        <v>336100</v>
      </c>
    </row>
    <row r="13" spans="4:16" ht="15.5">
      <c r="D13" s="15">
        <v>4</v>
      </c>
      <c r="E13" s="6" t="s">
        <v>12</v>
      </c>
      <c r="F13" s="6">
        <f>'[1]Purchase Record'!E11+'[1]Purchase Record'!E11*70%</f>
        <v>11900</v>
      </c>
      <c r="G13" s="6">
        <v>100</v>
      </c>
      <c r="H13" s="6">
        <f t="shared" si="0"/>
        <v>1190000</v>
      </c>
      <c r="I13" s="6">
        <f t="shared" si="1"/>
        <v>119000</v>
      </c>
      <c r="J13" s="6">
        <f t="shared" si="2"/>
        <v>35700</v>
      </c>
      <c r="K13" s="6">
        <f t="shared" si="3"/>
        <v>1035300</v>
      </c>
      <c r="L13" s="16">
        <f>K13-'[1]Purchase Record'!J11</f>
        <v>264300</v>
      </c>
    </row>
    <row r="14" spans="4:16" ht="15.5">
      <c r="D14" s="15">
        <v>5</v>
      </c>
      <c r="E14" s="6" t="s">
        <v>13</v>
      </c>
      <c r="F14" s="6">
        <f>'[1]Purchase Record'!E12+'[1]Purchase Record'!E12*70%</f>
        <v>850</v>
      </c>
      <c r="G14" s="6">
        <v>250</v>
      </c>
      <c r="H14" s="6">
        <f t="shared" si="0"/>
        <v>212500</v>
      </c>
      <c r="I14" s="6">
        <f t="shared" si="1"/>
        <v>21250</v>
      </c>
      <c r="J14" s="6">
        <f t="shared" si="2"/>
        <v>6375</v>
      </c>
      <c r="K14" s="6">
        <f t="shared" si="3"/>
        <v>184875</v>
      </c>
      <c r="L14" s="16">
        <f>K14-'[1]Purchase Record'!J12</f>
        <v>44875</v>
      </c>
    </row>
    <row r="15" spans="4:16" ht="15.5">
      <c r="D15" s="15">
        <v>6</v>
      </c>
      <c r="E15" s="6" t="s">
        <v>14</v>
      </c>
      <c r="F15" s="6">
        <f>'[1]Purchase Record'!E13+'[1]Purchase Record'!E13*70%</f>
        <v>850</v>
      </c>
      <c r="G15" s="6">
        <v>250</v>
      </c>
      <c r="H15" s="6">
        <f t="shared" si="0"/>
        <v>212500</v>
      </c>
      <c r="I15" s="6">
        <f t="shared" si="1"/>
        <v>21250</v>
      </c>
      <c r="J15" s="6">
        <f t="shared" si="2"/>
        <v>6375</v>
      </c>
      <c r="K15" s="6">
        <f t="shared" si="3"/>
        <v>184875</v>
      </c>
      <c r="L15" s="16">
        <f>K15-'[1]Purchase Record'!J13</f>
        <v>44875</v>
      </c>
    </row>
    <row r="16" spans="4:16" ht="15.5">
      <c r="D16" s="15">
        <v>7</v>
      </c>
      <c r="E16" s="6" t="s">
        <v>15</v>
      </c>
      <c r="F16" s="6">
        <f>'[1]Purchase Record'!E14+'[1]Purchase Record'!E14*70%</f>
        <v>4250</v>
      </c>
      <c r="G16" s="6">
        <v>300</v>
      </c>
      <c r="H16" s="6">
        <f t="shared" si="0"/>
        <v>1275000</v>
      </c>
      <c r="I16" s="6">
        <f t="shared" si="1"/>
        <v>127500</v>
      </c>
      <c r="J16" s="6">
        <f t="shared" si="2"/>
        <v>38250</v>
      </c>
      <c r="K16" s="6">
        <f t="shared" si="3"/>
        <v>1109250</v>
      </c>
      <c r="L16" s="16">
        <f>K16-'[1]Purchase Record'!J14</f>
        <v>281250</v>
      </c>
    </row>
    <row r="17" spans="4:12" ht="15.5">
      <c r="D17" s="15">
        <v>8</v>
      </c>
      <c r="E17" s="6" t="s">
        <v>16</v>
      </c>
      <c r="F17" s="6">
        <f>'[1]Purchase Record'!E15+'[1]Purchase Record'!E15*70%</f>
        <v>1700</v>
      </c>
      <c r="G17" s="6">
        <v>500</v>
      </c>
      <c r="H17" s="6">
        <f t="shared" si="0"/>
        <v>850000</v>
      </c>
      <c r="I17" s="6">
        <f t="shared" si="1"/>
        <v>85000</v>
      </c>
      <c r="J17" s="6">
        <f t="shared" si="2"/>
        <v>25500</v>
      </c>
      <c r="K17" s="6">
        <f t="shared" si="3"/>
        <v>739500</v>
      </c>
      <c r="L17" s="16">
        <f>K17-'[1]Purchase Record'!J15</f>
        <v>184500</v>
      </c>
    </row>
    <row r="18" spans="4:12" ht="15.5">
      <c r="D18" s="15">
        <v>9</v>
      </c>
      <c r="E18" s="6" t="s">
        <v>17</v>
      </c>
      <c r="F18" s="6">
        <f>'[1]Purchase Record'!E16+'[1]Purchase Record'!E16*70%</f>
        <v>1275</v>
      </c>
      <c r="G18" s="6">
        <v>500</v>
      </c>
      <c r="H18" s="6">
        <f t="shared" si="0"/>
        <v>637500</v>
      </c>
      <c r="I18" s="6">
        <f t="shared" si="1"/>
        <v>63750</v>
      </c>
      <c r="J18" s="6">
        <f t="shared" si="2"/>
        <v>19125</v>
      </c>
      <c r="K18" s="6">
        <f t="shared" si="3"/>
        <v>554625</v>
      </c>
      <c r="L18" s="16">
        <f>K18-'[1]Purchase Record'!J16</f>
        <v>137125</v>
      </c>
    </row>
    <row r="19" spans="4:12" ht="15.5">
      <c r="D19" s="15">
        <v>10</v>
      </c>
      <c r="E19" s="6" t="s">
        <v>18</v>
      </c>
      <c r="F19" s="6">
        <f>'[1]Purchase Record'!E17+'[1]Purchase Record'!E17*70%</f>
        <v>5100</v>
      </c>
      <c r="G19" s="6">
        <v>50</v>
      </c>
      <c r="H19" s="6">
        <f t="shared" si="0"/>
        <v>255000</v>
      </c>
      <c r="I19" s="6">
        <f t="shared" si="1"/>
        <v>25500</v>
      </c>
      <c r="J19" s="6">
        <f t="shared" si="2"/>
        <v>7650</v>
      </c>
      <c r="K19" s="6">
        <f t="shared" si="3"/>
        <v>221850</v>
      </c>
      <c r="L19" s="16">
        <f>K19-'[1]Purchase Record'!J17</f>
        <v>56350</v>
      </c>
    </row>
    <row r="20" spans="4:12" ht="15.5">
      <c r="D20" s="15">
        <v>11</v>
      </c>
      <c r="E20" s="6" t="s">
        <v>19</v>
      </c>
      <c r="F20" s="6">
        <f>'[1]Purchase Record'!E18+'[1]Purchase Record'!E18*70%</f>
        <v>7650</v>
      </c>
      <c r="G20" s="6">
        <v>25</v>
      </c>
      <c r="H20" s="6">
        <f t="shared" si="0"/>
        <v>191250</v>
      </c>
      <c r="I20" s="6">
        <f t="shared" si="1"/>
        <v>19125</v>
      </c>
      <c r="J20" s="6">
        <f t="shared" si="2"/>
        <v>5737.5</v>
      </c>
      <c r="K20" s="6">
        <f t="shared" si="3"/>
        <v>166387.5</v>
      </c>
      <c r="L20" s="16">
        <f>K20-'[1]Purchase Record'!J18</f>
        <v>42387.5</v>
      </c>
    </row>
    <row r="21" spans="4:12" ht="15.5">
      <c r="D21" s="15">
        <v>12</v>
      </c>
      <c r="E21" s="6" t="s">
        <v>20</v>
      </c>
      <c r="F21" s="6">
        <f>'[1]Purchase Record'!E19+'[1]Purchase Record'!E19*70%</f>
        <v>13600</v>
      </c>
      <c r="G21" s="6">
        <v>25</v>
      </c>
      <c r="H21" s="6">
        <f t="shared" si="0"/>
        <v>340000</v>
      </c>
      <c r="I21" s="6">
        <f t="shared" si="1"/>
        <v>34000</v>
      </c>
      <c r="J21" s="6">
        <f t="shared" si="2"/>
        <v>10200</v>
      </c>
      <c r="K21" s="6">
        <f t="shared" si="3"/>
        <v>295800</v>
      </c>
      <c r="L21" s="16">
        <f>K21-'[1]Purchase Record'!J19</f>
        <v>75550</v>
      </c>
    </row>
    <row r="22" spans="4:12" ht="15.5">
      <c r="D22" s="15">
        <v>13</v>
      </c>
      <c r="E22" s="6" t="s">
        <v>21</v>
      </c>
      <c r="F22" s="6">
        <f>'[1]Purchase Record'!E20+'[1]Purchase Record'!E20*70%</f>
        <v>11900</v>
      </c>
      <c r="G22" s="6">
        <v>25</v>
      </c>
      <c r="H22" s="6">
        <f t="shared" si="0"/>
        <v>297500</v>
      </c>
      <c r="I22" s="6">
        <f t="shared" si="1"/>
        <v>29750</v>
      </c>
      <c r="J22" s="6">
        <f t="shared" si="2"/>
        <v>8925</v>
      </c>
      <c r="K22" s="6">
        <f t="shared" si="3"/>
        <v>258825</v>
      </c>
      <c r="L22" s="16">
        <f>K22-'[1]Purchase Record'!J20</f>
        <v>66075</v>
      </c>
    </row>
    <row r="23" spans="4:12" ht="15.5">
      <c r="D23" s="17">
        <v>14</v>
      </c>
      <c r="E23" s="8" t="s">
        <v>22</v>
      </c>
      <c r="F23" s="6">
        <f>'[1]Purchase Record'!E21+'[1]Purchase Record'!E21*70%</f>
        <v>1020</v>
      </c>
      <c r="G23" s="8">
        <v>450</v>
      </c>
      <c r="H23" s="6">
        <f t="shared" si="0"/>
        <v>459000</v>
      </c>
      <c r="I23" s="8">
        <f t="shared" si="1"/>
        <v>45900</v>
      </c>
      <c r="J23" s="6">
        <f t="shared" si="2"/>
        <v>13770</v>
      </c>
      <c r="K23" s="6">
        <f t="shared" si="3"/>
        <v>399330</v>
      </c>
      <c r="L23" s="16">
        <f>K23-'[1]Purchase Record'!J21</f>
        <v>97830</v>
      </c>
    </row>
    <row r="24" spans="4:12" ht="15.5">
      <c r="D24" s="17">
        <v>15</v>
      </c>
      <c r="E24" s="8" t="s">
        <v>23</v>
      </c>
      <c r="F24" s="6">
        <f>'[1]Purchase Record'!E22+'[1]Purchase Record'!E22*70%</f>
        <v>2550</v>
      </c>
      <c r="G24" s="8">
        <v>500</v>
      </c>
      <c r="H24" s="6">
        <f t="shared" si="0"/>
        <v>1275000</v>
      </c>
      <c r="I24" s="8">
        <f t="shared" si="1"/>
        <v>127500</v>
      </c>
      <c r="J24" s="6">
        <f t="shared" si="2"/>
        <v>38250</v>
      </c>
      <c r="K24" s="6">
        <f t="shared" si="3"/>
        <v>1109250</v>
      </c>
      <c r="L24" s="16">
        <f>K24-'[1]Purchase Record'!J22</f>
        <v>279250</v>
      </c>
    </row>
    <row r="25" spans="4:12" ht="15.5">
      <c r="D25" s="18" t="s">
        <v>33</v>
      </c>
      <c r="E25" s="19" t="s">
        <v>25</v>
      </c>
      <c r="F25" s="19">
        <f>SUM(F10:F24)</f>
        <v>83555</v>
      </c>
      <c r="G25" s="19">
        <f t="shared" ref="G25:L25" si="4">SUM(G10:G24)</f>
        <v>3975</v>
      </c>
      <c r="H25" s="19">
        <f t="shared" si="4"/>
        <v>13485250</v>
      </c>
      <c r="I25" s="19">
        <f t="shared" si="4"/>
        <v>1348525</v>
      </c>
      <c r="J25" s="19">
        <f t="shared" si="4"/>
        <v>404557.5</v>
      </c>
      <c r="K25" s="25">
        <f t="shared" si="4"/>
        <v>11732167.5</v>
      </c>
      <c r="L25" s="19">
        <f t="shared" si="4"/>
        <v>2966667.5</v>
      </c>
    </row>
  </sheetData>
  <mergeCells count="1">
    <mergeCell ref="D6:L7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record</vt:lpstr>
      <vt:lpstr>Sales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2026-04-22T12:12:48Z</cp:lastPrinted>
  <dcterms:created xsi:type="dcterms:W3CDTF">2026-04-22T11:36:53Z</dcterms:created>
  <dcterms:modified xsi:type="dcterms:W3CDTF">2026-04-22T12:12:55Z</dcterms:modified>
</cp:coreProperties>
</file>